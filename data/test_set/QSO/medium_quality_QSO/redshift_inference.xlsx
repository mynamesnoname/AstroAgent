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976\Desktop\"/>
    </mc:Choice>
  </mc:AlternateContent>
  <xr:revisionPtr revIDLastSave="0" documentId="8_{46340F8E-FA9D-4985-A96F-2A2FA8290019}" xr6:coauthVersionLast="47" xr6:coauthVersionMax="47" xr10:uidLastSave="{00000000-0000-0000-0000-000000000000}"/>
  <bookViews>
    <workbookView xWindow="-120" yWindow="-120" windowWidth="38640" windowHeight="21120" activeTab="1" xr2:uid="{7F644744-D334-4135-8C38-8EC810CB6CF5}"/>
  </bookViews>
  <sheets>
    <sheet name="in_brief" sheetId="3" r:id="rId1"/>
    <sheet name="TARDGET_ID_with_zbest" sheetId="2" r:id="rId2"/>
    <sheet name="Sheet1" sheetId="1" r:id="rId3"/>
  </sheets>
  <definedNames>
    <definedName name="ExternalData_1" localSheetId="1" hidden="1">TARDGET_ID_with_zbest!$A$1:$B$51</definedName>
    <definedName name="ExternalData_2" localSheetId="0" hidden="1">in_brief!$A$1:$D$51</definedName>
    <definedName name="ExternalData_2" localSheetId="1" hidden="1">TARDGET_ID_with_zbest!$C$1:$E$51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B18B66-4F58-4C36-BC38-D55B82FF4168}" keepAlive="1" name="查询 - in_brief" description="与工作簿中“in_brief”查询的连接。" type="5" refreshedVersion="8" background="1" saveData="1">
    <dbPr connection="Provider=Microsoft.Mashup.OleDb.1;Data Source=$Workbook$;Location=in_brief;Extended Properties=&quot;&quot;" command="SELECT * FROM [in_brief]"/>
  </connection>
  <connection id="2" xr16:uid="{0902CD03-A779-48A4-AB6E-28A7F189C6FA}" keepAlive="1" name="查询 - in_brief (2)" description="与工作簿中“in_brief (2)”查询的连接。" type="5" refreshedVersion="8" background="1" saveData="1">
    <dbPr connection="Provider=Microsoft.Mashup.OleDb.1;Data Source=$Workbook$;Location=&quot;in_brief (2)&quot;;Extended Properties=&quot;&quot;" command="SELECT * FROM [in_brief (2)]"/>
  </connection>
  <connection id="3" xr16:uid="{CD392649-3C1D-4651-8D19-3516C4E0E039}" keepAlive="1" name="查询 - TARDGET_ID_with_zbest" description="与工作簿中“TARDGET_ID_with_zbest”查询的连接。" type="5" refreshedVersion="8" background="1" saveData="1">
    <dbPr connection="Provider=Microsoft.Mashup.OleDb.1;Data Source=$Workbook$;Location=TARDGET_ID_with_zbest;Extended Properties=&quot;&quot;" command="SELECT * FROM [TARDGET_ID_with_zbest]"/>
  </connection>
</connections>
</file>

<file path=xl/sharedStrings.xml><?xml version="1.0" encoding="utf-8"?>
<sst xmlns="http://schemas.openxmlformats.org/spreadsheetml/2006/main" count="310" uniqueCount="89">
  <si>
    <t>image_name</t>
  </si>
  <si>
    <t>type</t>
  </si>
  <si>
    <t>redshift</t>
  </si>
  <si>
    <t>rms</t>
  </si>
  <si>
    <t>QSO</t>
  </si>
  <si>
    <t>2.49</t>
  </si>
  <si>
    <t>0.01</t>
  </si>
  <si>
    <t>galaxy</t>
  </si>
  <si>
    <t>3.624</t>
  </si>
  <si>
    <t>0.005</t>
  </si>
  <si>
    <t>2.459</t>
  </si>
  <si>
    <t>0.011</t>
  </si>
  <si>
    <t>3.211</t>
  </si>
  <si>
    <t>0.009</t>
  </si>
  <si>
    <t>3.374</t>
  </si>
  <si>
    <t>0.006</t>
  </si>
  <si>
    <t>N/A</t>
  </si>
  <si>
    <t>2.3759</t>
  </si>
  <si>
    <t>0.00006</t>
  </si>
  <si>
    <t>2.625</t>
  </si>
  <si>
    <t>None</t>
  </si>
  <si>
    <t>2.891</t>
  </si>
  <si>
    <t>0.052</t>
  </si>
  <si>
    <t>2.211</t>
  </si>
  <si>
    <t>0.004</t>
  </si>
  <si>
    <t>2.553</t>
  </si>
  <si>
    <t>0.013</t>
  </si>
  <si>
    <t>2.182</t>
  </si>
  <si>
    <t>0.001</t>
  </si>
  <si>
    <t>2.238</t>
  </si>
  <si>
    <t>0.268</t>
  </si>
  <si>
    <t>0.023</t>
  </si>
  <si>
    <t>2.852</t>
  </si>
  <si>
    <t>0.010</t>
  </si>
  <si>
    <t>2.51</t>
  </si>
  <si>
    <t>0.43</t>
  </si>
  <si>
    <t>3.071</t>
  </si>
  <si>
    <t>0.008</t>
  </si>
  <si>
    <t>6.765</t>
  </si>
  <si>
    <t>5.114</t>
  </si>
  <si>
    <t>6.753</t>
  </si>
  <si>
    <t>0.082</t>
  </si>
  <si>
    <t>2.111</t>
  </si>
  <si>
    <t>2.523</t>
  </si>
  <si>
    <t>0.073</t>
  </si>
  <si>
    <t>2.158</t>
  </si>
  <si>
    <t>2.0876</t>
  </si>
  <si>
    <t>0.0017</t>
  </si>
  <si>
    <t>2.725</t>
  </si>
  <si>
    <t>2.281</t>
  </si>
  <si>
    <t>0.019</t>
  </si>
  <si>
    <t>6.788</t>
  </si>
  <si>
    <t>0.118</t>
  </si>
  <si>
    <t>2.7517</t>
  </si>
  <si>
    <t>0.0010</t>
  </si>
  <si>
    <t>2.4129</t>
  </si>
  <si>
    <t>0.0084</t>
  </si>
  <si>
    <t>2.051</t>
  </si>
  <si>
    <t>2.455</t>
  </si>
  <si>
    <t>3.455</t>
  </si>
  <si>
    <t>2.586</t>
  </si>
  <si>
    <t>0.012</t>
  </si>
  <si>
    <t>6.76</t>
  </si>
  <si>
    <t>0.05</t>
  </si>
  <si>
    <t>2.1637</t>
  </si>
  <si>
    <t>0.0086</t>
  </si>
  <si>
    <t>2.449</t>
  </si>
  <si>
    <t>5.25</t>
  </si>
  <si>
    <t>0.003</t>
  </si>
  <si>
    <t>2.922</t>
  </si>
  <si>
    <t>0.036</t>
  </si>
  <si>
    <t>0.207</t>
  </si>
  <si>
    <t>2.651</t>
  </si>
  <si>
    <t>6.749</t>
  </si>
  <si>
    <t>0.025</t>
  </si>
  <si>
    <t>5.255</t>
  </si>
  <si>
    <t>0.026</t>
  </si>
  <si>
    <t>2.471</t>
  </si>
  <si>
    <t>3.308</t>
  </si>
  <si>
    <t>2.751</t>
  </si>
  <si>
    <t>0.007</t>
  </si>
  <si>
    <t>2.68</t>
  </si>
  <si>
    <t>0.016</t>
  </si>
  <si>
    <t>2.970</t>
  </si>
  <si>
    <t>z_LLM-zbest</t>
    <phoneticPr fontId="1" type="noConversion"/>
  </si>
  <si>
    <t>Target ID</t>
    <phoneticPr fontId="1" type="noConversion"/>
  </si>
  <si>
    <t>zbest fit</t>
    <phoneticPr fontId="1" type="noConversion"/>
  </si>
  <si>
    <t>LLM reference z</t>
    <phoneticPr fontId="1" type="noConversion"/>
  </si>
  <si>
    <t>RMS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</si>
</sst>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13"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76" formatCode="0.0000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76" formatCode="0.00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34BC544-56D0-48C8-BE5A-5DB12623CFB8}" autoFormatId="16" applyNumberFormats="0" applyBorderFormats="0" applyFontFormats="0" applyPatternFormats="0" applyAlignmentFormats="0" applyWidthHeightFormats="0">
  <queryTableRefresh nextId="5">
    <queryTableFields count="4">
      <queryTableField id="1" name="image_name" tableColumnId="1"/>
      <queryTableField id="2" name="type" tableColumnId="2"/>
      <queryTableField id="3" name="redshift" tableColumnId="3"/>
      <queryTableField id="4" name="rm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1F3F05E-72AE-4FD8-BB8F-0713053C922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01DC75D-DCFD-4903-AADD-D7D0B1B94D71}" autoFormatId="16" applyNumberFormats="0" applyBorderFormats="0" applyFontFormats="0" applyPatternFormats="0" applyAlignmentFormats="0" applyWidthHeightFormats="0">
  <queryTableRefresh nextId="6" unboundColumnsRight="1">
    <queryTableFields count="4">
      <queryTableField id="2" name="type" tableColumnId="2"/>
      <queryTableField id="3" name="redshift" tableColumnId="3"/>
      <queryTableField id="4" name="rms" tableColumnId="4"/>
      <queryTableField id="5" dataBound="0" tableColumnId="5"/>
    </queryTableFields>
    <queryTableDeletedFields count="1">
      <deletedField name="image_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D9D0CF-9638-4B30-A167-942F4B7E621D}" name="in_brief" displayName="in_brief" ref="A1:D51" tableType="queryTable" totalsRowShown="0">
  <autoFilter ref="A1:D51" xr:uid="{C0D9D0CF-9638-4B30-A167-942F4B7E621D}"/>
  <tableColumns count="4">
    <tableColumn id="1" xr3:uid="{0639DD7C-FCFE-45F8-9238-E9143ED20088}" uniqueName="1" name="image_name" queryTableFieldId="1"/>
    <tableColumn id="2" xr3:uid="{128655A5-4BA8-487B-AA02-57FC542F6594}" uniqueName="2" name="type" queryTableFieldId="2" dataDxfId="12"/>
    <tableColumn id="3" xr3:uid="{360F9A50-C529-422F-B7E1-AF8B75976530}" uniqueName="3" name="redshift" queryTableFieldId="3" dataDxfId="11"/>
    <tableColumn id="4" xr3:uid="{6BEEE732-ABF1-4AFA-B6E8-0AC973FAC90F}" uniqueName="4" name="rms" queryTableFieldId="4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FDA2D3-85F6-4256-92D3-8FC460B98969}" name="TARDGET_ID_with_zbest" displayName="TARDGET_ID_with_zbest" ref="A1:B51" tableType="queryTable" totalsRowShown="0" headerRowDxfId="7" dataDxfId="6">
  <autoFilter ref="A1:B51" xr:uid="{7BFDA2D3-85F6-4256-92D3-8FC460B98969}"/>
  <tableColumns count="2">
    <tableColumn id="1" xr3:uid="{735ADAD8-9067-4DAF-883F-EA91D7E9AF65}" uniqueName="1" name="Target ID" queryTableFieldId="1" dataDxfId="9"/>
    <tableColumn id="2" xr3:uid="{F605B593-997C-463C-907A-613784DC3220}" uniqueName="2" name="zbest fit" queryTableFieldId="2" dataDxfId="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4D7376-F7B6-4BA2-B065-0844540CE7C5}" name="in_brief4" displayName="in_brief4" ref="C1:F51" tableType="queryTable" totalsRowShown="0" headerRowDxfId="1" dataDxfId="0">
  <autoFilter ref="C1:F51" xr:uid="{094D7376-F7B6-4BA2-B065-0844540CE7C5}"/>
  <tableColumns count="4">
    <tableColumn id="2" xr3:uid="{60B0273B-F12F-43E9-81D8-B78B6964FFFE}" uniqueName="2" name="type" queryTableFieldId="2" dataDxfId="5"/>
    <tableColumn id="3" xr3:uid="{2A9C2A03-CFCA-4C36-8D9E-7B4A1EFD94A6}" uniqueName="3" name="LLM reference z" queryTableFieldId="3" dataDxfId="4"/>
    <tableColumn id="4" xr3:uid="{21F29776-5596-4300-BC9A-E6BCFF9DD694}" uniqueName="4" name="RMS" queryTableFieldId="4" dataDxfId="3"/>
    <tableColumn id="5" xr3:uid="{6A5B2799-1114-499D-B25D-D8E9BE2F5C79}" uniqueName="5" name="z_LLM-zbest" queryTableFieldId="5" dataDxfId="2">
      <calculatedColumnFormula>D2-B2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D096B-A537-4482-A976-92FEB2FE11CD}">
  <dimension ref="A1:D51"/>
  <sheetViews>
    <sheetView workbookViewId="0">
      <selection activeCell="H42" sqref="H42"/>
    </sheetView>
  </sheetViews>
  <sheetFormatPr defaultRowHeight="14.25" x14ac:dyDescent="0.2"/>
  <cols>
    <col min="1" max="1" width="14.5" bestFit="1" customWidth="1"/>
    <col min="2" max="2" width="7.25" bestFit="1" customWidth="1"/>
    <col min="3" max="3" width="10" bestFit="1" customWidth="1"/>
    <col min="4" max="4" width="7.8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150001306</v>
      </c>
      <c r="B2" s="2" t="s">
        <v>4</v>
      </c>
      <c r="C2" s="2" t="s">
        <v>5</v>
      </c>
      <c r="D2" s="2" t="s">
        <v>6</v>
      </c>
    </row>
    <row r="3" spans="1:4" x14ac:dyDescent="0.2">
      <c r="A3">
        <v>150002729</v>
      </c>
      <c r="B3" s="2" t="s">
        <v>7</v>
      </c>
      <c r="C3" s="2" t="s">
        <v>8</v>
      </c>
      <c r="D3" s="2" t="s">
        <v>9</v>
      </c>
    </row>
    <row r="4" spans="1:4" x14ac:dyDescent="0.2">
      <c r="A4">
        <v>150005031</v>
      </c>
      <c r="B4" s="2" t="s">
        <v>4</v>
      </c>
      <c r="C4" s="2" t="s">
        <v>10</v>
      </c>
      <c r="D4" s="2" t="s">
        <v>11</v>
      </c>
    </row>
    <row r="5" spans="1:4" x14ac:dyDescent="0.2">
      <c r="A5">
        <v>150005062</v>
      </c>
      <c r="B5" s="2" t="s">
        <v>4</v>
      </c>
      <c r="C5" s="2" t="s">
        <v>12</v>
      </c>
      <c r="D5" s="2" t="s">
        <v>13</v>
      </c>
    </row>
    <row r="6" spans="1:4" x14ac:dyDescent="0.2">
      <c r="A6">
        <v>150006465</v>
      </c>
      <c r="B6" s="2" t="s">
        <v>4</v>
      </c>
      <c r="C6" s="2" t="s">
        <v>14</v>
      </c>
      <c r="D6" s="2" t="s">
        <v>15</v>
      </c>
    </row>
    <row r="7" spans="1:4" x14ac:dyDescent="0.2">
      <c r="A7">
        <v>150007367</v>
      </c>
      <c r="B7" s="2" t="s">
        <v>16</v>
      </c>
      <c r="C7" s="2" t="s">
        <v>16</v>
      </c>
      <c r="D7" s="2" t="s">
        <v>16</v>
      </c>
    </row>
    <row r="8" spans="1:4" x14ac:dyDescent="0.2">
      <c r="A8">
        <v>150007813</v>
      </c>
      <c r="B8" s="2" t="s">
        <v>16</v>
      </c>
      <c r="C8" s="2" t="s">
        <v>16</v>
      </c>
      <c r="D8" s="2" t="s">
        <v>16</v>
      </c>
    </row>
    <row r="9" spans="1:4" x14ac:dyDescent="0.2">
      <c r="A9">
        <v>150008304</v>
      </c>
      <c r="B9" s="2" t="s">
        <v>4</v>
      </c>
      <c r="C9" s="2" t="s">
        <v>17</v>
      </c>
      <c r="D9" s="2" t="s">
        <v>18</v>
      </c>
    </row>
    <row r="10" spans="1:4" x14ac:dyDescent="0.2">
      <c r="A10">
        <v>150010559</v>
      </c>
      <c r="B10" s="2" t="s">
        <v>7</v>
      </c>
      <c r="C10" s="2" t="s">
        <v>19</v>
      </c>
      <c r="D10" s="2" t="s">
        <v>20</v>
      </c>
    </row>
    <row r="11" spans="1:4" x14ac:dyDescent="0.2">
      <c r="A11">
        <v>150011016</v>
      </c>
      <c r="B11" s="2" t="s">
        <v>4</v>
      </c>
      <c r="C11" s="2" t="s">
        <v>21</v>
      </c>
      <c r="D11" s="2" t="s">
        <v>22</v>
      </c>
    </row>
    <row r="12" spans="1:4" x14ac:dyDescent="0.2">
      <c r="A12">
        <v>150011035</v>
      </c>
      <c r="B12" s="2" t="s">
        <v>4</v>
      </c>
      <c r="C12" s="2" t="s">
        <v>23</v>
      </c>
      <c r="D12" s="2" t="s">
        <v>24</v>
      </c>
    </row>
    <row r="13" spans="1:4" x14ac:dyDescent="0.2">
      <c r="A13">
        <v>150011982</v>
      </c>
      <c r="B13" s="2" t="s">
        <v>4</v>
      </c>
      <c r="C13" s="2" t="s">
        <v>25</v>
      </c>
      <c r="D13" s="2" t="s">
        <v>26</v>
      </c>
    </row>
    <row r="14" spans="1:4" x14ac:dyDescent="0.2">
      <c r="A14">
        <v>150015092</v>
      </c>
      <c r="B14" s="2" t="s">
        <v>4</v>
      </c>
      <c r="C14" s="2" t="s">
        <v>27</v>
      </c>
      <c r="D14" s="2" t="s">
        <v>28</v>
      </c>
    </row>
    <row r="15" spans="1:4" x14ac:dyDescent="0.2">
      <c r="A15">
        <v>150015587</v>
      </c>
      <c r="B15" s="2" t="s">
        <v>4</v>
      </c>
      <c r="C15" s="2" t="s">
        <v>29</v>
      </c>
      <c r="D15" s="2" t="s">
        <v>24</v>
      </c>
    </row>
    <row r="16" spans="1:4" x14ac:dyDescent="0.2">
      <c r="A16">
        <v>150016557</v>
      </c>
      <c r="B16" s="2" t="s">
        <v>7</v>
      </c>
      <c r="C16" s="2" t="s">
        <v>30</v>
      </c>
      <c r="D16" s="2" t="s">
        <v>31</v>
      </c>
    </row>
    <row r="17" spans="1:4" x14ac:dyDescent="0.2">
      <c r="A17">
        <v>150016974</v>
      </c>
      <c r="B17" s="2" t="s">
        <v>4</v>
      </c>
      <c r="C17" s="2" t="s">
        <v>32</v>
      </c>
      <c r="D17" s="2" t="s">
        <v>33</v>
      </c>
    </row>
    <row r="18" spans="1:4" x14ac:dyDescent="0.2">
      <c r="A18">
        <v>150020135</v>
      </c>
      <c r="B18" s="2" t="s">
        <v>4</v>
      </c>
      <c r="C18" s="2" t="s">
        <v>34</v>
      </c>
      <c r="D18" s="2" t="s">
        <v>35</v>
      </c>
    </row>
    <row r="19" spans="1:4" x14ac:dyDescent="0.2">
      <c r="A19">
        <v>150021049</v>
      </c>
      <c r="B19" s="2" t="s">
        <v>4</v>
      </c>
      <c r="C19" s="2" t="s">
        <v>36</v>
      </c>
      <c r="D19" s="2" t="s">
        <v>37</v>
      </c>
    </row>
    <row r="20" spans="1:4" x14ac:dyDescent="0.2">
      <c r="A20">
        <v>150021917</v>
      </c>
      <c r="B20" s="2" t="s">
        <v>4</v>
      </c>
      <c r="C20" s="2" t="s">
        <v>38</v>
      </c>
      <c r="D20" s="2" t="s">
        <v>28</v>
      </c>
    </row>
    <row r="21" spans="1:4" x14ac:dyDescent="0.2">
      <c r="A21">
        <v>150021927</v>
      </c>
      <c r="B21" s="2" t="s">
        <v>4</v>
      </c>
      <c r="C21" s="2" t="s">
        <v>39</v>
      </c>
      <c r="D21" s="2" t="s">
        <v>28</v>
      </c>
    </row>
    <row r="22" spans="1:4" x14ac:dyDescent="0.2">
      <c r="A22">
        <v>150023656</v>
      </c>
      <c r="B22" s="2" t="s">
        <v>4</v>
      </c>
      <c r="C22" s="2" t="s">
        <v>40</v>
      </c>
      <c r="D22" s="2" t="s">
        <v>41</v>
      </c>
    </row>
    <row r="23" spans="1:4" x14ac:dyDescent="0.2">
      <c r="A23">
        <v>150024134</v>
      </c>
      <c r="B23" s="2" t="s">
        <v>16</v>
      </c>
      <c r="C23" s="2" t="s">
        <v>16</v>
      </c>
      <c r="D23" s="2" t="s">
        <v>16</v>
      </c>
    </row>
    <row r="24" spans="1:4" x14ac:dyDescent="0.2">
      <c r="A24">
        <v>150024544</v>
      </c>
      <c r="B24" s="2" t="s">
        <v>4</v>
      </c>
      <c r="C24" s="2" t="s">
        <v>42</v>
      </c>
      <c r="D24" s="2" t="s">
        <v>9</v>
      </c>
    </row>
    <row r="25" spans="1:4" x14ac:dyDescent="0.2">
      <c r="A25">
        <v>150024898</v>
      </c>
      <c r="B25" s="2" t="s">
        <v>4</v>
      </c>
      <c r="C25" s="2" t="s">
        <v>43</v>
      </c>
      <c r="D25" s="2" t="s">
        <v>44</v>
      </c>
    </row>
    <row r="26" spans="1:4" x14ac:dyDescent="0.2">
      <c r="A26">
        <v>150026220</v>
      </c>
      <c r="B26" s="2" t="s">
        <v>4</v>
      </c>
      <c r="C26" s="2" t="s">
        <v>45</v>
      </c>
      <c r="D26" s="2" t="s">
        <v>26</v>
      </c>
    </row>
    <row r="27" spans="1:4" x14ac:dyDescent="0.2">
      <c r="A27">
        <v>150026230</v>
      </c>
      <c r="B27" s="2" t="s">
        <v>4</v>
      </c>
      <c r="C27" s="2" t="s">
        <v>46</v>
      </c>
      <c r="D27" s="2" t="s">
        <v>47</v>
      </c>
    </row>
    <row r="28" spans="1:4" x14ac:dyDescent="0.2">
      <c r="A28">
        <v>150026668</v>
      </c>
      <c r="B28" s="2" t="s">
        <v>4</v>
      </c>
      <c r="C28" s="2" t="s">
        <v>48</v>
      </c>
      <c r="D28" s="2" t="s">
        <v>26</v>
      </c>
    </row>
    <row r="29" spans="1:4" x14ac:dyDescent="0.2">
      <c r="A29">
        <v>150027082</v>
      </c>
      <c r="B29" s="2" t="s">
        <v>4</v>
      </c>
      <c r="C29" s="2" t="s">
        <v>49</v>
      </c>
      <c r="D29" s="2" t="s">
        <v>50</v>
      </c>
    </row>
    <row r="30" spans="1:4" x14ac:dyDescent="0.2">
      <c r="A30">
        <v>150027108</v>
      </c>
      <c r="B30" s="2" t="s">
        <v>7</v>
      </c>
      <c r="C30" s="2" t="s">
        <v>51</v>
      </c>
      <c r="D30" s="2" t="s">
        <v>52</v>
      </c>
    </row>
    <row r="31" spans="1:4" x14ac:dyDescent="0.2">
      <c r="A31">
        <v>150027482</v>
      </c>
      <c r="B31" s="2" t="s">
        <v>4</v>
      </c>
      <c r="C31" s="2" t="s">
        <v>53</v>
      </c>
      <c r="D31" s="2" t="s">
        <v>54</v>
      </c>
    </row>
    <row r="32" spans="1:4" x14ac:dyDescent="0.2">
      <c r="A32">
        <v>150028822</v>
      </c>
      <c r="B32" s="2" t="s">
        <v>4</v>
      </c>
      <c r="C32" s="2" t="s">
        <v>55</v>
      </c>
      <c r="D32" s="2" t="s">
        <v>56</v>
      </c>
    </row>
    <row r="33" spans="1:4" x14ac:dyDescent="0.2">
      <c r="A33">
        <v>150029189</v>
      </c>
      <c r="B33" s="2" t="s">
        <v>4</v>
      </c>
      <c r="C33" s="2" t="s">
        <v>57</v>
      </c>
      <c r="D33" s="2" t="s">
        <v>26</v>
      </c>
    </row>
    <row r="34" spans="1:4" x14ac:dyDescent="0.2">
      <c r="A34">
        <v>150029216</v>
      </c>
      <c r="B34" s="2" t="s">
        <v>4</v>
      </c>
      <c r="C34" s="2" t="s">
        <v>58</v>
      </c>
      <c r="D34" s="2" t="s">
        <v>15</v>
      </c>
    </row>
    <row r="35" spans="1:4" x14ac:dyDescent="0.2">
      <c r="A35">
        <v>150029696</v>
      </c>
      <c r="B35" s="2" t="s">
        <v>4</v>
      </c>
      <c r="C35" s="2" t="s">
        <v>59</v>
      </c>
      <c r="D35" s="2" t="s">
        <v>44</v>
      </c>
    </row>
    <row r="36" spans="1:4" x14ac:dyDescent="0.2">
      <c r="A36">
        <v>150030494</v>
      </c>
      <c r="B36" s="2" t="s">
        <v>4</v>
      </c>
      <c r="C36" s="2" t="s">
        <v>60</v>
      </c>
      <c r="D36" s="2" t="s">
        <v>61</v>
      </c>
    </row>
    <row r="37" spans="1:4" x14ac:dyDescent="0.2">
      <c r="A37">
        <v>150030904</v>
      </c>
      <c r="B37" s="2" t="s">
        <v>4</v>
      </c>
      <c r="C37" s="2" t="s">
        <v>62</v>
      </c>
      <c r="D37" s="2" t="s">
        <v>63</v>
      </c>
    </row>
    <row r="38" spans="1:4" x14ac:dyDescent="0.2">
      <c r="A38">
        <v>150031333</v>
      </c>
      <c r="B38" s="2" t="s">
        <v>4</v>
      </c>
      <c r="C38" s="2" t="s">
        <v>64</v>
      </c>
      <c r="D38" s="2" t="s">
        <v>65</v>
      </c>
    </row>
    <row r="39" spans="1:4" x14ac:dyDescent="0.2">
      <c r="A39">
        <v>150031794</v>
      </c>
      <c r="B39" s="2" t="s">
        <v>4</v>
      </c>
      <c r="C39" s="2" t="s">
        <v>66</v>
      </c>
      <c r="D39" s="2" t="s">
        <v>31</v>
      </c>
    </row>
    <row r="40" spans="1:4" x14ac:dyDescent="0.2">
      <c r="A40">
        <v>150033644</v>
      </c>
      <c r="B40" s="2" t="s">
        <v>4</v>
      </c>
      <c r="C40" s="2" t="s">
        <v>67</v>
      </c>
      <c r="D40" s="2" t="s">
        <v>68</v>
      </c>
    </row>
    <row r="41" spans="1:4" x14ac:dyDescent="0.2">
      <c r="A41">
        <v>150034056</v>
      </c>
      <c r="B41" s="2" t="s">
        <v>4</v>
      </c>
      <c r="C41" s="2" t="s">
        <v>69</v>
      </c>
      <c r="D41" s="2" t="s">
        <v>70</v>
      </c>
    </row>
    <row r="42" spans="1:4" x14ac:dyDescent="0.2">
      <c r="A42">
        <v>150036735</v>
      </c>
      <c r="B42" s="2" t="s">
        <v>7</v>
      </c>
      <c r="C42" s="2" t="s">
        <v>71</v>
      </c>
      <c r="D42" s="2" t="s">
        <v>6</v>
      </c>
    </row>
    <row r="43" spans="1:4" x14ac:dyDescent="0.2">
      <c r="A43">
        <v>150043714</v>
      </c>
      <c r="B43" s="2" t="s">
        <v>4</v>
      </c>
      <c r="C43" s="2" t="s">
        <v>72</v>
      </c>
      <c r="D43" s="2" t="s">
        <v>9</v>
      </c>
    </row>
    <row r="44" spans="1:4" x14ac:dyDescent="0.2">
      <c r="A44">
        <v>150044932</v>
      </c>
      <c r="B44" s="2" t="s">
        <v>4</v>
      </c>
      <c r="C44" s="2" t="s">
        <v>73</v>
      </c>
      <c r="D44" s="2" t="s">
        <v>74</v>
      </c>
    </row>
    <row r="45" spans="1:4" x14ac:dyDescent="0.2">
      <c r="A45">
        <v>150045921</v>
      </c>
      <c r="B45" s="2" t="s">
        <v>4</v>
      </c>
      <c r="C45" s="2" t="s">
        <v>75</v>
      </c>
      <c r="D45" s="2" t="s">
        <v>76</v>
      </c>
    </row>
    <row r="46" spans="1:4" x14ac:dyDescent="0.2">
      <c r="A46">
        <v>150050105</v>
      </c>
      <c r="B46" s="2" t="s">
        <v>4</v>
      </c>
      <c r="C46" s="2" t="s">
        <v>77</v>
      </c>
      <c r="D46" s="2" t="s">
        <v>28</v>
      </c>
    </row>
    <row r="47" spans="1:4" x14ac:dyDescent="0.2">
      <c r="A47">
        <v>150080517</v>
      </c>
      <c r="B47" s="2" t="s">
        <v>4</v>
      </c>
      <c r="C47" s="2" t="s">
        <v>78</v>
      </c>
      <c r="D47" s="2" t="s">
        <v>37</v>
      </c>
    </row>
    <row r="48" spans="1:4" x14ac:dyDescent="0.2">
      <c r="A48">
        <v>150081326</v>
      </c>
      <c r="B48" s="2" t="s">
        <v>16</v>
      </c>
      <c r="C48" s="2" t="s">
        <v>16</v>
      </c>
      <c r="D48" s="2" t="s">
        <v>16</v>
      </c>
    </row>
    <row r="49" spans="1:4" x14ac:dyDescent="0.2">
      <c r="A49">
        <v>150089279</v>
      </c>
      <c r="B49" s="2" t="s">
        <v>4</v>
      </c>
      <c r="C49" s="2" t="s">
        <v>79</v>
      </c>
      <c r="D49" s="2" t="s">
        <v>80</v>
      </c>
    </row>
    <row r="50" spans="1:4" x14ac:dyDescent="0.2">
      <c r="A50">
        <v>150090642</v>
      </c>
      <c r="B50" s="2" t="s">
        <v>4</v>
      </c>
      <c r="C50" s="2" t="s">
        <v>81</v>
      </c>
      <c r="D50" s="2" t="s">
        <v>82</v>
      </c>
    </row>
    <row r="51" spans="1:4" x14ac:dyDescent="0.2">
      <c r="A51">
        <v>150091084</v>
      </c>
      <c r="B51" s="2" t="s">
        <v>4</v>
      </c>
      <c r="C51" s="2" t="s">
        <v>83</v>
      </c>
      <c r="D51" s="2" t="s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E392-2CA7-496F-B5C8-6B7B609F96A3}">
  <dimension ref="A1:F51"/>
  <sheetViews>
    <sheetView tabSelected="1" workbookViewId="0">
      <selection activeCell="M17" sqref="M17"/>
    </sheetView>
  </sheetViews>
  <sheetFormatPr defaultRowHeight="14.25" x14ac:dyDescent="0.2"/>
  <cols>
    <col min="1" max="1" width="11.125" bestFit="1" customWidth="1"/>
    <col min="2" max="2" width="12.75" style="1" bestFit="1" customWidth="1"/>
    <col min="4" max="4" width="14" customWidth="1"/>
    <col min="6" max="6" width="12.75" customWidth="1"/>
  </cols>
  <sheetData>
    <row r="1" spans="1:6" ht="15" x14ac:dyDescent="0.2">
      <c r="A1" s="3" t="s">
        <v>85</v>
      </c>
      <c r="B1" s="4" t="s">
        <v>86</v>
      </c>
      <c r="C1" s="3" t="s">
        <v>1</v>
      </c>
      <c r="D1" s="3" t="s">
        <v>87</v>
      </c>
      <c r="E1" s="3" t="s">
        <v>88</v>
      </c>
      <c r="F1" s="3" t="s">
        <v>84</v>
      </c>
    </row>
    <row r="2" spans="1:6" ht="15" x14ac:dyDescent="0.2">
      <c r="A2" s="3">
        <v>150001306</v>
      </c>
      <c r="B2" s="4">
        <v>2.4884951114654541</v>
      </c>
      <c r="C2" s="5" t="s">
        <v>4</v>
      </c>
      <c r="D2" s="5" t="s">
        <v>5</v>
      </c>
      <c r="E2" s="5" t="s">
        <v>6</v>
      </c>
      <c r="F2" s="4">
        <f t="shared" ref="F2:F33" si="0">D2-B2</f>
        <v>1.5048885345461116E-3</v>
      </c>
    </row>
    <row r="3" spans="1:6" ht="15" x14ac:dyDescent="0.2">
      <c r="A3" s="3">
        <v>150002729</v>
      </c>
      <c r="B3" s="4">
        <v>3.6158697605133057</v>
      </c>
      <c r="C3" s="5" t="s">
        <v>7</v>
      </c>
      <c r="D3" s="5" t="s">
        <v>8</v>
      </c>
      <c r="E3" s="5" t="s">
        <v>9</v>
      </c>
      <c r="F3" s="4">
        <f t="shared" si="0"/>
        <v>8.1302394866944461E-3</v>
      </c>
    </row>
    <row r="4" spans="1:6" ht="15" x14ac:dyDescent="0.2">
      <c r="A4" s="3">
        <v>150005031</v>
      </c>
      <c r="B4" s="4">
        <v>2.4716057777404785</v>
      </c>
      <c r="C4" s="5" t="s">
        <v>4</v>
      </c>
      <c r="D4" s="5" t="s">
        <v>10</v>
      </c>
      <c r="E4" s="5" t="s">
        <v>11</v>
      </c>
      <c r="F4" s="4">
        <f t="shared" si="0"/>
        <v>-1.2605777740478441E-2</v>
      </c>
    </row>
    <row r="5" spans="1:6" ht="15" x14ac:dyDescent="0.2">
      <c r="A5" s="3">
        <v>150005062</v>
      </c>
      <c r="B5" s="4">
        <v>3.2074146270751953</v>
      </c>
      <c r="C5" s="5" t="s">
        <v>4</v>
      </c>
      <c r="D5" s="5" t="s">
        <v>12</v>
      </c>
      <c r="E5" s="5" t="s">
        <v>13</v>
      </c>
      <c r="F5" s="4">
        <f t="shared" si="0"/>
        <v>3.5853729248045418E-3</v>
      </c>
    </row>
    <row r="6" spans="1:6" ht="15" x14ac:dyDescent="0.2">
      <c r="A6" s="3">
        <v>150006465</v>
      </c>
      <c r="B6" s="4">
        <v>3.3695833683013916</v>
      </c>
      <c r="C6" s="5" t="s">
        <v>4</v>
      </c>
      <c r="D6" s="5" t="s">
        <v>14</v>
      </c>
      <c r="E6" s="5" t="s">
        <v>15</v>
      </c>
      <c r="F6" s="4">
        <f t="shared" si="0"/>
        <v>4.4166316986085086E-3</v>
      </c>
    </row>
    <row r="7" spans="1:6" ht="15" x14ac:dyDescent="0.2">
      <c r="A7" s="6">
        <v>150007367</v>
      </c>
      <c r="B7" s="7">
        <v>3.0320403575897217</v>
      </c>
      <c r="C7" s="8" t="s">
        <v>16</v>
      </c>
      <c r="D7" s="8" t="s">
        <v>16</v>
      </c>
      <c r="E7" s="8" t="s">
        <v>16</v>
      </c>
      <c r="F7" s="7" t="e">
        <f t="shared" si="0"/>
        <v>#VALUE!</v>
      </c>
    </row>
    <row r="8" spans="1:6" ht="15" x14ac:dyDescent="0.2">
      <c r="A8" s="6">
        <v>150007813</v>
      </c>
      <c r="B8" s="7">
        <v>2.1410412788391113</v>
      </c>
      <c r="C8" s="8" t="s">
        <v>16</v>
      </c>
      <c r="D8" s="8" t="s">
        <v>16</v>
      </c>
      <c r="E8" s="8" t="s">
        <v>16</v>
      </c>
      <c r="F8" s="7" t="e">
        <f t="shared" si="0"/>
        <v>#VALUE!</v>
      </c>
    </row>
    <row r="9" spans="1:6" ht="15" x14ac:dyDescent="0.2">
      <c r="A9" s="9">
        <v>150008304</v>
      </c>
      <c r="B9" s="10">
        <v>1.9942053556442261</v>
      </c>
      <c r="C9" s="11" t="s">
        <v>4</v>
      </c>
      <c r="D9" s="11" t="s">
        <v>17</v>
      </c>
      <c r="E9" s="11" t="s">
        <v>18</v>
      </c>
      <c r="F9" s="10">
        <f t="shared" si="0"/>
        <v>0.38169464435577405</v>
      </c>
    </row>
    <row r="10" spans="1:6" ht="15" x14ac:dyDescent="0.2">
      <c r="A10" s="9">
        <v>150010559</v>
      </c>
      <c r="B10" s="10">
        <v>1.8506474494934082</v>
      </c>
      <c r="C10" s="11" t="s">
        <v>7</v>
      </c>
      <c r="D10" s="11" t="s">
        <v>19</v>
      </c>
      <c r="E10" s="11" t="s">
        <v>20</v>
      </c>
      <c r="F10" s="10">
        <f t="shared" si="0"/>
        <v>0.7743525505065918</v>
      </c>
    </row>
    <row r="11" spans="1:6" ht="15" x14ac:dyDescent="0.2">
      <c r="A11" s="9">
        <v>150011016</v>
      </c>
      <c r="B11" s="10">
        <v>2.0755724906921387</v>
      </c>
      <c r="C11" s="11" t="s">
        <v>4</v>
      </c>
      <c r="D11" s="11" t="s">
        <v>21</v>
      </c>
      <c r="E11" s="11" t="s">
        <v>22</v>
      </c>
      <c r="F11" s="10">
        <f t="shared" si="0"/>
        <v>0.81542750930786134</v>
      </c>
    </row>
    <row r="12" spans="1:6" ht="15" x14ac:dyDescent="0.2">
      <c r="A12" s="3">
        <v>150011035</v>
      </c>
      <c r="B12" s="4">
        <v>2.216022253036499</v>
      </c>
      <c r="C12" s="5" t="s">
        <v>4</v>
      </c>
      <c r="D12" s="5" t="s">
        <v>23</v>
      </c>
      <c r="E12" s="5" t="s">
        <v>24</v>
      </c>
      <c r="F12" s="4">
        <f t="shared" si="0"/>
        <v>-5.0222530364991691E-3</v>
      </c>
    </row>
    <row r="13" spans="1:6" ht="15" x14ac:dyDescent="0.2">
      <c r="A13" s="3">
        <v>150011982</v>
      </c>
      <c r="B13" s="4">
        <v>2.5603609085083008</v>
      </c>
      <c r="C13" s="5" t="s">
        <v>4</v>
      </c>
      <c r="D13" s="5" t="s">
        <v>25</v>
      </c>
      <c r="E13" s="5" t="s">
        <v>26</v>
      </c>
      <c r="F13" s="4">
        <f t="shared" si="0"/>
        <v>-7.3609085083008452E-3</v>
      </c>
    </row>
    <row r="14" spans="1:6" ht="15" x14ac:dyDescent="0.2">
      <c r="A14" s="3">
        <v>150015092</v>
      </c>
      <c r="B14" s="4">
        <v>2.1816842555999756</v>
      </c>
      <c r="C14" s="5" t="s">
        <v>4</v>
      </c>
      <c r="D14" s="5" t="s">
        <v>27</v>
      </c>
      <c r="E14" s="5" t="s">
        <v>28</v>
      </c>
      <c r="F14" s="4">
        <f t="shared" si="0"/>
        <v>3.1574440002435367E-4</v>
      </c>
    </row>
    <row r="15" spans="1:6" ht="15" x14ac:dyDescent="0.2">
      <c r="A15" s="3">
        <v>150015587</v>
      </c>
      <c r="B15" s="4">
        <v>2.2364463806152344</v>
      </c>
      <c r="C15" s="5" t="s">
        <v>4</v>
      </c>
      <c r="D15" s="5" t="s">
        <v>29</v>
      </c>
      <c r="E15" s="5" t="s">
        <v>24</v>
      </c>
      <c r="F15" s="4">
        <f t="shared" si="0"/>
        <v>1.5536193847656143E-3</v>
      </c>
    </row>
    <row r="16" spans="1:6" ht="15" x14ac:dyDescent="0.2">
      <c r="A16" s="9">
        <v>150016557</v>
      </c>
      <c r="B16" s="10">
        <v>3.1389975547790527</v>
      </c>
      <c r="C16" s="11" t="s">
        <v>7</v>
      </c>
      <c r="D16" s="11" t="s">
        <v>30</v>
      </c>
      <c r="E16" s="11" t="s">
        <v>31</v>
      </c>
      <c r="F16" s="10">
        <f t="shared" si="0"/>
        <v>-2.8709975547790529</v>
      </c>
    </row>
    <row r="17" spans="1:6" ht="15" x14ac:dyDescent="0.2">
      <c r="A17" s="3">
        <v>150016974</v>
      </c>
      <c r="B17" s="4">
        <v>2.8545486927032471</v>
      </c>
      <c r="C17" s="5" t="s">
        <v>4</v>
      </c>
      <c r="D17" s="5" t="s">
        <v>32</v>
      </c>
      <c r="E17" s="5" t="s">
        <v>33</v>
      </c>
      <c r="F17" s="4">
        <f t="shared" si="0"/>
        <v>-2.5486927032472018E-3</v>
      </c>
    </row>
    <row r="18" spans="1:6" ht="15" x14ac:dyDescent="0.2">
      <c r="A18" s="3">
        <v>150020135</v>
      </c>
      <c r="B18" s="4">
        <v>2.1964433193206787</v>
      </c>
      <c r="C18" s="5" t="s">
        <v>4</v>
      </c>
      <c r="D18" s="5" t="s">
        <v>34</v>
      </c>
      <c r="E18" s="5" t="s">
        <v>35</v>
      </c>
      <c r="F18" s="4">
        <f t="shared" si="0"/>
        <v>0.31355668067932108</v>
      </c>
    </row>
    <row r="19" spans="1:6" ht="15" x14ac:dyDescent="0.2">
      <c r="A19" s="3">
        <v>150021049</v>
      </c>
      <c r="B19" s="4">
        <v>2.9896507263183594</v>
      </c>
      <c r="C19" s="5" t="s">
        <v>4</v>
      </c>
      <c r="D19" s="5" t="s">
        <v>36</v>
      </c>
      <c r="E19" s="5" t="s">
        <v>37</v>
      </c>
      <c r="F19" s="4">
        <f t="shared" si="0"/>
        <v>8.1349273681640799E-2</v>
      </c>
    </row>
    <row r="20" spans="1:6" ht="15" x14ac:dyDescent="0.2">
      <c r="A20" s="9">
        <v>150021917</v>
      </c>
      <c r="B20" s="10">
        <v>2.5849554538726807</v>
      </c>
      <c r="C20" s="11" t="s">
        <v>4</v>
      </c>
      <c r="D20" s="11" t="s">
        <v>38</v>
      </c>
      <c r="E20" s="11" t="s">
        <v>28</v>
      </c>
      <c r="F20" s="10">
        <f t="shared" si="0"/>
        <v>4.180044546127319</v>
      </c>
    </row>
    <row r="21" spans="1:6" ht="15" x14ac:dyDescent="0.2">
      <c r="A21" s="9">
        <v>150021927</v>
      </c>
      <c r="B21" s="10">
        <v>2.5738959312438965</v>
      </c>
      <c r="C21" s="11" t="s">
        <v>4</v>
      </c>
      <c r="D21" s="11" t="s">
        <v>39</v>
      </c>
      <c r="E21" s="11" t="s">
        <v>28</v>
      </c>
      <c r="F21" s="10">
        <f t="shared" si="0"/>
        <v>2.5401040687561034</v>
      </c>
    </row>
    <row r="22" spans="1:6" ht="15" x14ac:dyDescent="0.2">
      <c r="A22" s="9">
        <v>150023656</v>
      </c>
      <c r="B22" s="10">
        <v>1.9226109981536865</v>
      </c>
      <c r="C22" s="11" t="s">
        <v>4</v>
      </c>
      <c r="D22" s="11" t="s">
        <v>40</v>
      </c>
      <c r="E22" s="11" t="s">
        <v>41</v>
      </c>
      <c r="F22" s="10">
        <f t="shared" si="0"/>
        <v>4.8303890018463136</v>
      </c>
    </row>
    <row r="23" spans="1:6" ht="15" x14ac:dyDescent="0.2">
      <c r="A23" s="6">
        <v>150024134</v>
      </c>
      <c r="B23" s="7">
        <v>2.308931827545166</v>
      </c>
      <c r="C23" s="8" t="s">
        <v>16</v>
      </c>
      <c r="D23" s="8" t="s">
        <v>16</v>
      </c>
      <c r="E23" s="8" t="s">
        <v>16</v>
      </c>
      <c r="F23" s="7" t="e">
        <f t="shared" si="0"/>
        <v>#VALUE!</v>
      </c>
    </row>
    <row r="24" spans="1:6" ht="15" x14ac:dyDescent="0.2">
      <c r="A24" s="3">
        <v>150024544</v>
      </c>
      <c r="B24" s="4">
        <v>2.112619161605835</v>
      </c>
      <c r="C24" s="5" t="s">
        <v>4</v>
      </c>
      <c r="D24" s="5" t="s">
        <v>42</v>
      </c>
      <c r="E24" s="5" t="s">
        <v>9</v>
      </c>
      <c r="F24" s="4">
        <f t="shared" si="0"/>
        <v>-1.6191616058347513E-3</v>
      </c>
    </row>
    <row r="25" spans="1:6" ht="15" x14ac:dyDescent="0.2">
      <c r="A25" s="9">
        <v>150024898</v>
      </c>
      <c r="B25" s="10">
        <v>1.8210732936859131</v>
      </c>
      <c r="C25" s="11" t="s">
        <v>4</v>
      </c>
      <c r="D25" s="11" t="s">
        <v>43</v>
      </c>
      <c r="E25" s="11" t="s">
        <v>44</v>
      </c>
      <c r="F25" s="10">
        <f t="shared" si="0"/>
        <v>0.70192670631408705</v>
      </c>
    </row>
    <row r="26" spans="1:6" ht="15" x14ac:dyDescent="0.2">
      <c r="A26" s="3">
        <v>150026220</v>
      </c>
      <c r="B26" s="4">
        <v>2.1650822162628174</v>
      </c>
      <c r="C26" s="5" t="s">
        <v>4</v>
      </c>
      <c r="D26" s="5" t="s">
        <v>45</v>
      </c>
      <c r="E26" s="5" t="s">
        <v>26</v>
      </c>
      <c r="F26" s="4">
        <f t="shared" si="0"/>
        <v>-7.0822162628174645E-3</v>
      </c>
    </row>
    <row r="27" spans="1:6" ht="15" x14ac:dyDescent="0.2">
      <c r="A27" s="3">
        <v>150026230</v>
      </c>
      <c r="B27" s="4">
        <v>2.0852766036987305</v>
      </c>
      <c r="C27" s="5" t="s">
        <v>4</v>
      </c>
      <c r="D27" s="5" t="s">
        <v>46</v>
      </c>
      <c r="E27" s="5" t="s">
        <v>47</v>
      </c>
      <c r="F27" s="4">
        <f t="shared" si="0"/>
        <v>2.3233963012696535E-3</v>
      </c>
    </row>
    <row r="28" spans="1:6" ht="15" x14ac:dyDescent="0.2">
      <c r="A28" s="9">
        <v>150026668</v>
      </c>
      <c r="B28" s="10">
        <v>2.1491985321044922</v>
      </c>
      <c r="C28" s="11" t="s">
        <v>4</v>
      </c>
      <c r="D28" s="11" t="s">
        <v>48</v>
      </c>
      <c r="E28" s="11" t="s">
        <v>26</v>
      </c>
      <c r="F28" s="10">
        <f t="shared" si="0"/>
        <v>0.5758014678955079</v>
      </c>
    </row>
    <row r="29" spans="1:6" ht="15" x14ac:dyDescent="0.2">
      <c r="A29" s="3">
        <v>150027082</v>
      </c>
      <c r="B29" s="4">
        <v>2.289405345916748</v>
      </c>
      <c r="C29" s="5" t="s">
        <v>4</v>
      </c>
      <c r="D29" s="5" t="s">
        <v>49</v>
      </c>
      <c r="E29" s="5" t="s">
        <v>50</v>
      </c>
      <c r="F29" s="4">
        <f t="shared" si="0"/>
        <v>-8.4053459167479083E-3</v>
      </c>
    </row>
    <row r="30" spans="1:6" ht="15" x14ac:dyDescent="0.2">
      <c r="A30" s="9">
        <v>150027108</v>
      </c>
      <c r="B30" s="10">
        <v>2.5587973594665527</v>
      </c>
      <c r="C30" s="11" t="s">
        <v>7</v>
      </c>
      <c r="D30" s="11" t="s">
        <v>51</v>
      </c>
      <c r="E30" s="11" t="s">
        <v>52</v>
      </c>
      <c r="F30" s="10">
        <f t="shared" si="0"/>
        <v>4.2292026405334475</v>
      </c>
    </row>
    <row r="31" spans="1:6" ht="15" x14ac:dyDescent="0.2">
      <c r="A31" s="9">
        <v>150027482</v>
      </c>
      <c r="B31" s="10">
        <v>1.9518207311630249</v>
      </c>
      <c r="C31" s="11" t="s">
        <v>4</v>
      </c>
      <c r="D31" s="11" t="s">
        <v>53</v>
      </c>
      <c r="E31" s="11" t="s">
        <v>54</v>
      </c>
      <c r="F31" s="10">
        <f t="shared" si="0"/>
        <v>0.79987926883697513</v>
      </c>
    </row>
    <row r="32" spans="1:6" ht="15" x14ac:dyDescent="0.2">
      <c r="A32" s="3">
        <v>150028822</v>
      </c>
      <c r="B32" s="4">
        <v>2.4133110046386719</v>
      </c>
      <c r="C32" s="5" t="s">
        <v>4</v>
      </c>
      <c r="D32" s="5" t="s">
        <v>55</v>
      </c>
      <c r="E32" s="5" t="s">
        <v>56</v>
      </c>
      <c r="F32" s="4">
        <f t="shared" si="0"/>
        <v>-4.1100463867183024E-4</v>
      </c>
    </row>
    <row r="33" spans="1:6" ht="15" x14ac:dyDescent="0.2">
      <c r="A33" s="3">
        <v>150029189</v>
      </c>
      <c r="B33" s="4">
        <v>2.0711839199066162</v>
      </c>
      <c r="C33" s="5" t="s">
        <v>4</v>
      </c>
      <c r="D33" s="5" t="s">
        <v>57</v>
      </c>
      <c r="E33" s="5" t="s">
        <v>26</v>
      </c>
      <c r="F33" s="4">
        <f t="shared" si="0"/>
        <v>-2.0183919906616055E-2</v>
      </c>
    </row>
    <row r="34" spans="1:6" ht="15" x14ac:dyDescent="0.2">
      <c r="A34" s="3">
        <v>150029216</v>
      </c>
      <c r="B34" s="4">
        <v>2.4590320587158203</v>
      </c>
      <c r="C34" s="5" t="s">
        <v>4</v>
      </c>
      <c r="D34" s="5" t="s">
        <v>58</v>
      </c>
      <c r="E34" s="5" t="s">
        <v>15</v>
      </c>
      <c r="F34" s="4">
        <f t="shared" ref="F34:F51" si="1">D34-B34</f>
        <v>-4.0320587158202414E-3</v>
      </c>
    </row>
    <row r="35" spans="1:6" ht="15" x14ac:dyDescent="0.2">
      <c r="A35" s="9">
        <v>150029696</v>
      </c>
      <c r="B35" s="10">
        <v>2.7897491455078125</v>
      </c>
      <c r="C35" s="11" t="s">
        <v>4</v>
      </c>
      <c r="D35" s="11" t="s">
        <v>59</v>
      </c>
      <c r="E35" s="11" t="s">
        <v>44</v>
      </c>
      <c r="F35" s="10">
        <f t="shared" si="1"/>
        <v>0.66525085449218757</v>
      </c>
    </row>
    <row r="36" spans="1:6" ht="15" x14ac:dyDescent="0.2">
      <c r="A36" s="9">
        <v>150030494</v>
      </c>
      <c r="B36" s="10">
        <v>1.8059004545211792</v>
      </c>
      <c r="C36" s="11" t="s">
        <v>4</v>
      </c>
      <c r="D36" s="11" t="s">
        <v>60</v>
      </c>
      <c r="E36" s="11" t="s">
        <v>61</v>
      </c>
      <c r="F36" s="10">
        <f t="shared" si="1"/>
        <v>0.78009954547882066</v>
      </c>
    </row>
    <row r="37" spans="1:6" ht="15" x14ac:dyDescent="0.2">
      <c r="A37" s="9">
        <v>150030904</v>
      </c>
      <c r="B37" s="10">
        <v>1.8219197988510132</v>
      </c>
      <c r="C37" s="11" t="s">
        <v>4</v>
      </c>
      <c r="D37" s="11" t="s">
        <v>62</v>
      </c>
      <c r="E37" s="11" t="s">
        <v>63</v>
      </c>
      <c r="F37" s="10">
        <f t="shared" si="1"/>
        <v>4.9380802011489866</v>
      </c>
    </row>
    <row r="38" spans="1:6" ht="15" x14ac:dyDescent="0.2">
      <c r="A38" s="3">
        <v>150031333</v>
      </c>
      <c r="B38" s="4">
        <v>2.1724560260772705</v>
      </c>
      <c r="C38" s="5" t="s">
        <v>4</v>
      </c>
      <c r="D38" s="5" t="s">
        <v>64</v>
      </c>
      <c r="E38" s="5" t="s">
        <v>65</v>
      </c>
      <c r="F38" s="4">
        <f t="shared" si="1"/>
        <v>-8.7560260772705512E-3</v>
      </c>
    </row>
    <row r="39" spans="1:6" ht="15" x14ac:dyDescent="0.2">
      <c r="A39" s="3">
        <v>150031794</v>
      </c>
      <c r="B39" s="4">
        <v>2.4651508331298828</v>
      </c>
      <c r="C39" s="5" t="s">
        <v>4</v>
      </c>
      <c r="D39" s="5" t="s">
        <v>66</v>
      </c>
      <c r="E39" s="5" t="s">
        <v>31</v>
      </c>
      <c r="F39" s="4">
        <f t="shared" si="1"/>
        <v>-1.6150833129882969E-2</v>
      </c>
    </row>
    <row r="40" spans="1:6" ht="15" x14ac:dyDescent="0.2">
      <c r="A40" s="9">
        <v>150033644</v>
      </c>
      <c r="B40" s="10">
        <v>1.9541208744049072</v>
      </c>
      <c r="C40" s="11" t="s">
        <v>4</v>
      </c>
      <c r="D40" s="11" t="s">
        <v>67</v>
      </c>
      <c r="E40" s="11" t="s">
        <v>68</v>
      </c>
      <c r="F40" s="10">
        <f t="shared" si="1"/>
        <v>3.2958791255950928</v>
      </c>
    </row>
    <row r="41" spans="1:6" ht="15" x14ac:dyDescent="0.2">
      <c r="A41" s="9">
        <v>150034056</v>
      </c>
      <c r="B41" s="10">
        <v>2.0632071495056152</v>
      </c>
      <c r="C41" s="11" t="s">
        <v>4</v>
      </c>
      <c r="D41" s="11" t="s">
        <v>69</v>
      </c>
      <c r="E41" s="11" t="s">
        <v>70</v>
      </c>
      <c r="F41" s="10">
        <f t="shared" si="1"/>
        <v>0.85879285049438492</v>
      </c>
    </row>
    <row r="42" spans="1:6" ht="15" x14ac:dyDescent="0.2">
      <c r="A42" s="9">
        <v>150036735</v>
      </c>
      <c r="B42" s="10">
        <v>1.889268159866333</v>
      </c>
      <c r="C42" s="11" t="s">
        <v>7</v>
      </c>
      <c r="D42" s="11" t="s">
        <v>71</v>
      </c>
      <c r="E42" s="11" t="s">
        <v>6</v>
      </c>
      <c r="F42" s="10">
        <f t="shared" si="1"/>
        <v>-1.6822681598663329</v>
      </c>
    </row>
    <row r="43" spans="1:6" ht="15" x14ac:dyDescent="0.2">
      <c r="A43" s="3">
        <v>150043714</v>
      </c>
      <c r="B43" s="4">
        <v>2.6505482196807861</v>
      </c>
      <c r="C43" s="5" t="s">
        <v>4</v>
      </c>
      <c r="D43" s="5" t="s">
        <v>72</v>
      </c>
      <c r="E43" s="5" t="s">
        <v>9</v>
      </c>
      <c r="F43" s="4">
        <f t="shared" si="1"/>
        <v>4.5178031921366824E-4</v>
      </c>
    </row>
    <row r="44" spans="1:6" ht="15" x14ac:dyDescent="0.2">
      <c r="A44" s="9">
        <v>150044932</v>
      </c>
      <c r="B44" s="10">
        <v>1.8478094339370728</v>
      </c>
      <c r="C44" s="11" t="s">
        <v>4</v>
      </c>
      <c r="D44" s="11" t="s">
        <v>73</v>
      </c>
      <c r="E44" s="11" t="s">
        <v>74</v>
      </c>
      <c r="F44" s="10">
        <f t="shared" si="1"/>
        <v>4.9011905660629269</v>
      </c>
    </row>
    <row r="45" spans="1:6" ht="15" x14ac:dyDescent="0.2">
      <c r="A45" s="9">
        <v>150045921</v>
      </c>
      <c r="B45" s="10">
        <v>1.8066462278366089</v>
      </c>
      <c r="C45" s="11" t="s">
        <v>4</v>
      </c>
      <c r="D45" s="11" t="s">
        <v>75</v>
      </c>
      <c r="E45" s="11" t="s">
        <v>76</v>
      </c>
      <c r="F45" s="10">
        <f t="shared" si="1"/>
        <v>3.448353772163391</v>
      </c>
    </row>
    <row r="46" spans="1:6" ht="15" x14ac:dyDescent="0.2">
      <c r="A46" s="9">
        <v>150050105</v>
      </c>
      <c r="B46" s="10">
        <v>1.9478863477706909</v>
      </c>
      <c r="C46" s="11" t="s">
        <v>4</v>
      </c>
      <c r="D46" s="11" t="s">
        <v>77</v>
      </c>
      <c r="E46" s="11" t="s">
        <v>28</v>
      </c>
      <c r="F46" s="10">
        <f t="shared" si="1"/>
        <v>0.52311365222930917</v>
      </c>
    </row>
    <row r="47" spans="1:6" ht="15" x14ac:dyDescent="0.2">
      <c r="A47" s="3">
        <v>150080517</v>
      </c>
      <c r="B47" s="4">
        <v>3.3062043190002441</v>
      </c>
      <c r="C47" s="5" t="s">
        <v>4</v>
      </c>
      <c r="D47" s="5" t="s">
        <v>78</v>
      </c>
      <c r="E47" s="5" t="s">
        <v>37</v>
      </c>
      <c r="F47" s="4">
        <f t="shared" si="1"/>
        <v>1.7956809997556888E-3</v>
      </c>
    </row>
    <row r="48" spans="1:6" ht="15" x14ac:dyDescent="0.2">
      <c r="A48" s="6">
        <v>150081326</v>
      </c>
      <c r="B48" s="7">
        <v>3.2710480690002441</v>
      </c>
      <c r="C48" s="8" t="s">
        <v>16</v>
      </c>
      <c r="D48" s="8" t="s">
        <v>16</v>
      </c>
      <c r="E48" s="8" t="s">
        <v>16</v>
      </c>
      <c r="F48" s="7" t="e">
        <f t="shared" si="1"/>
        <v>#VALUE!</v>
      </c>
    </row>
    <row r="49" spans="1:6" ht="15" x14ac:dyDescent="0.2">
      <c r="A49" s="3">
        <v>150089279</v>
      </c>
      <c r="B49" s="4">
        <v>2.7519733905792236</v>
      </c>
      <c r="C49" s="5" t="s">
        <v>4</v>
      </c>
      <c r="D49" s="5" t="s">
        <v>79</v>
      </c>
      <c r="E49" s="5" t="s">
        <v>80</v>
      </c>
      <c r="F49" s="4">
        <f t="shared" si="1"/>
        <v>-9.7339057922374295E-4</v>
      </c>
    </row>
    <row r="50" spans="1:6" ht="15" x14ac:dyDescent="0.2">
      <c r="A50" s="3">
        <v>150090642</v>
      </c>
      <c r="B50" s="4">
        <v>2.6607496738433838</v>
      </c>
      <c r="C50" s="5" t="s">
        <v>4</v>
      </c>
      <c r="D50" s="5" t="s">
        <v>81</v>
      </c>
      <c r="E50" s="5" t="s">
        <v>82</v>
      </c>
      <c r="F50" s="4">
        <f t="shared" si="1"/>
        <v>1.9250326156616371E-2</v>
      </c>
    </row>
    <row r="51" spans="1:6" ht="15" x14ac:dyDescent="0.2">
      <c r="A51" s="3">
        <v>150091084</v>
      </c>
      <c r="B51" s="4">
        <v>2.9679853916168213</v>
      </c>
      <c r="C51" s="5" t="s">
        <v>4</v>
      </c>
      <c r="D51" s="5" t="s">
        <v>83</v>
      </c>
      <c r="E51" s="5" t="s">
        <v>6</v>
      </c>
      <c r="F51" s="4">
        <f t="shared" si="1"/>
        <v>2.0146083831789063E-3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2EE5-014A-40F4-8C84-D281968C2F8E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6EB866-88B4-4468-BFC6-3ECC573CFC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in_brief</vt:lpstr>
      <vt:lpstr>TARDGET_ID_with_zbest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bc</dc:creator>
  <cp:lastModifiedBy>w bc</cp:lastModifiedBy>
  <dcterms:created xsi:type="dcterms:W3CDTF">2025-10-31T00:49:27Z</dcterms:created>
  <dcterms:modified xsi:type="dcterms:W3CDTF">2025-10-31T00:59:16Z</dcterms:modified>
</cp:coreProperties>
</file>